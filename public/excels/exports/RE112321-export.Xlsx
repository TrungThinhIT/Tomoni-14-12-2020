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<sst xmlns="http://schemas.openxmlformats.org/spreadsheetml/2006/main" uniqueCount="41">
  <si>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　</t>
  </si>
  <si>
    <t>ご請求書</t>
  </si>
  <si>
    <t>DATE</t>
  </si>
  <si>
    <t>PQ000NEW-Gia Binh Technic Co.Ltd 様</t>
  </si>
  <si>
    <t>SỐ DƯ
未収金</t>
  </si>
  <si>
    <t>55 Nguyễn Hoàng, Hải Châu 2, Hải Châu, Đà Nẵng
+84 91 995 06 05</t>
  </si>
  <si>
    <t xml:space="preserve">TỔNG MUA 
請求額        </t>
  </si>
  <si>
    <t>TỔNG CHUYỂN 
入金</t>
  </si>
  <si>
    <t>入金リスト</t>
  </si>
  <si>
    <t>TỔNG</t>
  </si>
  <si>
    <t>Date</t>
  </si>
  <si>
    <t>Invoice No</t>
  </si>
  <si>
    <t>JAN code</t>
  </si>
  <si>
    <t>Tên hàng
Product name</t>
  </si>
  <si>
    <t>Hình ảnh
Picture</t>
  </si>
  <si>
    <t>Số thùng
CTNS</t>
  </si>
  <si>
    <t>Số lượng/ thùng
Number of boxes</t>
  </si>
  <si>
    <t>Tổng số lượng
QTY</t>
  </si>
  <si>
    <t>Đơn giá
SELL PRICE
(C&amp;F)</t>
  </si>
  <si>
    <t>tổng phụ
subtotal</t>
  </si>
  <si>
    <t>Tax (%)</t>
  </si>
  <si>
    <t>Chiết khấu
Discount</t>
  </si>
  <si>
    <t>Tổng tiền
Total money</t>
  </si>
  <si>
    <t>Khối lượng
㎏</t>
  </si>
  <si>
    <t>Cao
High</t>
  </si>
  <si>
    <t>Dài
Long</t>
  </si>
  <si>
    <t>Rộng
Wide</t>
  </si>
  <si>
    <t>Cân nặng
Weight</t>
  </si>
  <si>
    <t>Số khối
A Mount of</t>
  </si>
  <si>
    <t>Web Order</t>
  </si>
  <si>
    <t xml:space="preserve">Hạn thanh toán
Payment </t>
  </si>
  <si>
    <t>Ngày có hàng
Delivery date</t>
  </si>
  <si>
    <t>Tình trạng
Note</t>
  </si>
  <si>
    <t>TOTAL</t>
  </si>
  <si>
    <t>Payment day</t>
  </si>
  <si>
    <t>Số tiền
Amount of money</t>
  </si>
  <si>
    <t>W-PQ014-290119-25</t>
  </si>
  <si>
    <t>GH Creation ジーエイチ クリエーション EX 300mgx270粒</t>
  </si>
  <si>
    <t>2019-02-13 00:00:00</t>
  </si>
  <si>
    <t>2019-03-10 00:00:00</t>
  </si>
  <si>
    <r>
      <t xml:space="preserve">Nợ tháng trước
</t>
    </r>
    <r>
      <rPr>
        <rFont val="游ゴシック"/>
        <b val="false"/>
        <i val="false"/>
        <strike val="false"/>
        <color rgb="FF000000"/>
        <sz val="16"/>
        <u val="none"/>
      </rPr>
      <t xml:space="preserve">未収金</t>
    </r>
  </si>
</sst>
</file>

<file path=xl/styles.xml><?xml version="1.0" encoding="utf-8"?>
<styleSheet xmlns="http://schemas.openxmlformats.org/spreadsheetml/2006/main" xml:space="preserve">
  <numFmts count="13">
    <numFmt numFmtId="164" formatCode="&quot;¥&quot;#,##0;[Red]&quot;¥&quot;\-#,##0"/>
    <numFmt numFmtId="165" formatCode="[$-1010000]d/m/yyyy;@"/>
    <numFmt numFmtId="166" formatCode="mm/dd"/>
    <numFmt numFmtId="167" formatCode="&quot;¥&quot;#,##0.0_);[Red]\(&quot;¥&quot;#,##0.0\)"/>
    <numFmt numFmtId="168" formatCode="&quot;¥&quot;#,##0_);[Red]\(&quot;¥&quot;#,##0\)"/>
    <numFmt numFmtId="169" formatCode="yyyy\-mm\-dd;@"/>
    <numFmt numFmtId="170" formatCode="0_);[Red]\(0\)"/>
    <numFmt numFmtId="171" formatCode="_(&quot;$&quot;* #,##0_);_(&quot;$&quot;* \(#,##0\);_(&quot;$&quot;* &quot;-&quot;_);_(@_)"/>
    <numFmt numFmtId="172" formatCode="_(* #,##0_);_(* \(#,##0\);_(* &quot;-&quot;_);_(@_)"/>
    <numFmt numFmtId="173" formatCode="[$¥-411]#,##0"/>
    <numFmt numFmtId="174" formatCode="yyyy\-mm\-dd"/>
    <numFmt numFmtId="175" formatCode="0;[Red]0"/>
    <numFmt numFmtId="176" formatCode="0.00_ "/>
  </numFmts>
  <fonts count="2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Times New Roman"/>
    </font>
    <font>
      <b val="1"/>
      <i val="0"/>
      <strike val="0"/>
      <u val="none"/>
      <sz val="18"/>
      <color rgb="FF000000"/>
      <name val="Times New Roman"/>
    </font>
    <font>
      <b val="1"/>
      <i val="0"/>
      <strike val="0"/>
      <u val="none"/>
      <sz val="16"/>
      <color rgb="FFFFFFFF"/>
      <name val="Times New Roman"/>
    </font>
    <font>
      <b val="1"/>
      <i val="0"/>
      <strike val="0"/>
      <u val="none"/>
      <sz val="16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6"/>
      <color rgb="FF0070C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6"/>
      <color rgb="FF000000"/>
      <name val="Arial"/>
    </font>
    <font>
      <b val="0"/>
      <i val="0"/>
      <strike val="0"/>
      <u val="none"/>
      <sz val="18"/>
      <color rgb="FF000000"/>
      <name val="ＭＳ Ｐ明朝"/>
    </font>
    <font>
      <b val="1"/>
      <i val="0"/>
      <strike val="0"/>
      <u val="single"/>
      <sz val="22"/>
      <color rgb="FF000000"/>
      <name val="ＭＳ Ｐ明朝"/>
    </font>
    <font>
      <b val="0"/>
      <i val="0"/>
      <strike val="0"/>
      <u val="none"/>
      <sz val="11"/>
      <color rgb="FF000000"/>
      <name val="Cambria"/>
    </font>
    <font>
      <b val="1"/>
      <i val="0"/>
      <strike val="0"/>
      <u val="single"/>
      <sz val="36"/>
      <color rgb="FF000000"/>
      <name val="ＭＳ Ｐ明朝"/>
    </font>
    <font>
      <b val="1"/>
      <i val="0"/>
      <strike val="0"/>
      <u val="none"/>
      <sz val="11"/>
      <color rgb="FF000000"/>
      <name val="ＭＳ Ｐ明朝"/>
    </font>
    <font>
      <b val="1"/>
      <i val="0"/>
      <strike val="0"/>
      <u val="single"/>
      <sz val="48"/>
      <color rgb="FF000000"/>
      <name val="ＭＳ Ｐ明朝"/>
    </font>
    <font>
      <b val="1"/>
      <i val="0"/>
      <strike val="0"/>
      <u val="none"/>
      <sz val="18"/>
      <color rgb="FF000000"/>
      <name val="ＭＳ Ｐ明朝"/>
    </font>
    <font>
      <b val="0"/>
      <i val="0"/>
      <strike val="0"/>
      <u val="none"/>
      <sz val="11"/>
      <color rgb="FF000000"/>
      <name val="ＭＳ Ｐ明朝"/>
    </font>
    <font>
      <b val="1"/>
      <i val="0"/>
      <strike val="0"/>
      <u val="none"/>
      <sz val="24"/>
      <color rgb="FF000000"/>
      <name val="ＭＳ Ｐ明朝"/>
    </font>
    <font>
      <b val="1"/>
      <i val="0"/>
      <strike val="0"/>
      <u val="single"/>
      <sz val="18"/>
      <color rgb="FF000000"/>
      <name val="ＭＳ Ｐ明朝"/>
    </font>
    <font>
      <b val="0"/>
      <i val="0"/>
      <strike val="0"/>
      <u val="none"/>
      <sz val="28"/>
      <color rgb="FF000000"/>
      <name val="ＭＳ Ｐ明朝"/>
    </font>
    <font>
      <b val="0"/>
      <i val="0"/>
      <strike val="0"/>
      <u val="none"/>
      <sz val="20"/>
      <color rgb="FF000000"/>
      <name val="ＭＳ Ｐ明朝"/>
    </font>
    <font>
      <b val="1"/>
      <i val="0"/>
      <strike val="0"/>
      <u val="none"/>
      <sz val="18"/>
      <color rgb="FFFF0000"/>
      <name val="ＭＳ Ｐ明朝"/>
    </font>
    <font>
      <b val="1"/>
      <i val="0"/>
      <strike val="0"/>
      <u val="none"/>
      <sz val="16"/>
      <color rgb="FFFFFFFF"/>
      <name val="ＭＳ Ｐ明朝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A9CD90"/>
        <bgColor rgb="FFA8D08D"/>
      </patternFill>
    </fill>
    <fill>
      <patternFill patternType="solid">
        <fgColor rgb="FFB4C6E7"/>
        <bgColor rgb="FFFFFFFF"/>
      </patternFill>
    </fill>
    <fill>
      <patternFill patternType="solid">
        <fgColor rgb="FFB4C6E7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FFF2CB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FFE598"/>
        <bgColor rgb="FFFFE598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2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165" fillId="0" borderId="0" applyFont="1" applyNumberFormat="1" applyFill="0" applyBorder="0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166" fillId="0" borderId="3" applyFont="1" applyNumberFormat="1" applyFill="0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1" fillId="0" borderId="3" applyFont="1" applyNumberFormat="1" applyFill="0" applyBorder="1" applyAlignment="1">
      <alignment horizontal="center" vertical="center" textRotation="0" wrapText="true" shrinkToFit="false"/>
    </xf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4" borderId="3" applyFont="1" applyNumberFormat="0" applyFill="1" applyBorder="1" applyAlignment="1">
      <alignment horizontal="center" vertical="center" textRotation="0" wrapText="true" shrinkToFit="false"/>
    </xf>
    <xf xfId="0" fontId="5" numFmtId="167" fillId="0" borderId="3" applyFont="1" applyNumberFormat="1" applyFill="0" applyBorder="1" applyAlignment="1">
      <alignment horizontal="center" vertical="center" textRotation="0" wrapText="true" shrinkToFit="false"/>
    </xf>
    <xf xfId="0" fontId="5" numFmtId="168" fillId="4" borderId="3" applyFont="1" applyNumberFormat="1" applyFill="1" applyBorder="1" applyAlignment="1">
      <alignment horizontal="center" vertical="center" textRotation="0" wrapText="true" shrinkToFit="false"/>
    </xf>
    <xf xfId="0" fontId="5" numFmtId="38" fillId="0" borderId="3" applyFont="1" applyNumberFormat="1" applyFill="0" applyBorder="1" applyAlignment="1">
      <alignment horizontal="center" vertical="center" textRotation="0" wrapText="true" shrinkToFit="false"/>
    </xf>
    <xf xfId="0" fontId="5" numFmtId="167" fillId="4" borderId="3" applyFont="1" applyNumberFormat="1" applyFill="1" applyBorder="1" applyAlignment="1">
      <alignment horizontal="center" vertical="center" textRotation="0" wrapText="true" shrinkToFit="false"/>
    </xf>
    <xf xfId="0" fontId="4" numFmtId="168" fillId="5" borderId="3" applyFont="1" applyNumberFormat="1" applyFill="1" applyBorder="1" applyAlignment="1">
      <alignment horizontal="center" vertical="center" textRotation="0" wrapText="true" shrinkToFit="false"/>
    </xf>
    <xf xfId="0" fontId="5" numFmtId="169" fillId="0" borderId="3" applyFont="1" applyNumberFormat="1" applyFill="0" applyBorder="1" applyAlignment="1">
      <alignment horizontal="center" vertical="center" textRotation="0" wrapText="false" shrinkToFit="false"/>
    </xf>
    <xf xfId="0" fontId="5" numFmtId="170" fillId="0" borderId="3" applyFont="1" applyNumberFormat="1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71" fillId="0" borderId="5" applyFont="1" applyNumberFormat="1" applyFill="0" applyBorder="1" applyAlignment="1">
      <alignment horizontal="center" vertical="center" textRotation="0" wrapText="true" shrinkToFit="false"/>
    </xf>
    <xf xfId="0" fontId="5" numFmtId="171" fillId="0" borderId="3" applyFont="1" applyNumberFormat="1" applyFill="0" applyBorder="1" applyAlignment="1">
      <alignment horizontal="center" vertical="center" textRotation="0" wrapText="true" shrinkToFit="false"/>
    </xf>
    <xf xfId="0" fontId="5" numFmtId="171" fillId="0" borderId="3" applyFont="1" applyNumberFormat="1" applyFill="0" applyBorder="1" applyAlignment="1">
      <alignment horizontal="center" vertical="center" textRotation="0" wrapText="false" shrinkToFit="false"/>
    </xf>
    <xf xfId="0" fontId="5" numFmtId="172" fillId="0" borderId="3" applyFont="1" applyNumberFormat="1" applyFill="0" applyBorder="1" applyAlignment="1">
      <alignment horizontal="center" vertical="center" textRotation="0" wrapText="true" shrinkToFit="false"/>
    </xf>
    <xf xfId="0" fontId="6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5" numFmtId="0" fillId="6" borderId="3" applyFont="1" applyNumberFormat="0" applyFill="1" applyBorder="1" applyAlignment="1">
      <alignment horizontal="center" vertical="center" textRotation="0" wrapText="false" shrinkToFit="false"/>
    </xf>
    <xf xfId="0" fontId="5" numFmtId="164" fillId="6" borderId="3" applyFont="1" applyNumberFormat="1" applyFill="1" applyBorder="1" applyAlignment="1">
      <alignment horizontal="center" vertical="center" textRotation="0" wrapText="false" shrinkToFit="false"/>
    </xf>
    <xf xfId="0" fontId="5" numFmtId="170" fillId="0" borderId="3" applyFont="1" applyNumberFormat="1" applyFill="0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7" borderId="3" applyFont="1" applyNumberFormat="0" applyFill="1" applyBorder="1" applyAlignment="1">
      <alignment horizontal="center" vertical="center" textRotation="0" wrapText="true" shrinkToFit="false"/>
    </xf>
    <xf xfId="0" fontId="5" numFmtId="173" fillId="6" borderId="3" applyFont="1" applyNumberFormat="1" applyFill="1" applyBorder="1" applyAlignment="1">
      <alignment horizontal="center" vertical="center" textRotation="0" wrapText="true" shrinkToFit="false"/>
    </xf>
    <xf xfId="0" fontId="5" numFmtId="164" fillId="7" borderId="3" applyFont="1" applyNumberFormat="1" applyFill="1" applyBorder="1" applyAlignment="1">
      <alignment horizontal="center" vertical="center" textRotation="0" wrapText="true" shrinkToFit="false"/>
    </xf>
    <xf xfId="0" fontId="5" numFmtId="38" fillId="0" borderId="3" applyFont="1" applyNumberFormat="1" applyFill="0" applyBorder="1" applyAlignment="1">
      <alignment horizontal="center" vertical="center" textRotation="0" wrapText="true" shrinkToFit="false"/>
    </xf>
    <xf xfId="0" fontId="5" numFmtId="167" fillId="7" borderId="3" applyFont="1" applyNumberFormat="1" applyFill="1" applyBorder="1" applyAlignment="1">
      <alignment horizontal="center" vertical="center" textRotation="0" wrapText="true" shrinkToFit="false"/>
    </xf>
    <xf xfId="0" fontId="4" numFmtId="164" fillId="7" borderId="3" applyFont="1" applyNumberFormat="1" applyFill="1" applyBorder="1" applyAlignment="1">
      <alignment horizontal="center" vertical="center" textRotation="0" wrapText="true" shrinkToFit="false"/>
    </xf>
    <xf xfId="0" fontId="5" numFmtId="174" fillId="0" borderId="3" applyFont="1" applyNumberFormat="1" applyFill="0" applyBorder="1" applyAlignment="1">
      <alignment horizontal="center" vertical="center" textRotation="0" wrapText="false" shrinkToFit="false"/>
    </xf>
    <xf xfId="0" fontId="5" numFmtId="174" fillId="0" borderId="5" applyFont="1" applyNumberFormat="1" applyFill="0" applyBorder="1" applyAlignment="1">
      <alignment horizontal="center" vertical="center" textRotation="0" wrapText="false" shrinkToFit="false"/>
    </xf>
    <xf xfId="0" fontId="5" numFmtId="172" fillId="0" borderId="3" applyFont="1" applyNumberFormat="1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66" fillId="0" borderId="1" applyFont="1" applyNumberFormat="1" applyFill="0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4" borderId="1" applyFont="1" applyNumberFormat="0" applyFill="1" applyBorder="1" applyAlignment="1">
      <alignment horizontal="center" vertical="center" textRotation="0" wrapText="true" shrinkToFit="false"/>
    </xf>
    <xf xfId="0" fontId="5" numFmtId="164" fillId="6" borderId="1" applyFont="1" applyNumberFormat="1" applyFill="1" applyBorder="1" applyAlignment="1">
      <alignment horizontal="center" vertical="center" textRotation="0" wrapText="false" shrinkToFit="false"/>
    </xf>
    <xf xfId="0" fontId="5" numFmtId="168" fillId="4" borderId="1" applyFont="1" applyNumberFormat="1" applyFill="1" applyBorder="1" applyAlignment="1">
      <alignment horizontal="center" vertical="center" textRotation="0" wrapText="true" shrinkToFit="false"/>
    </xf>
    <xf xfId="0" fontId="5" numFmtId="38" fillId="0" borderId="1" applyFont="1" applyNumberFormat="1" applyFill="0" applyBorder="1" applyAlignment="1">
      <alignment horizontal="center" vertical="center" textRotation="0" wrapText="true" shrinkToFit="false"/>
    </xf>
    <xf xfId="0" fontId="5" numFmtId="167" fillId="4" borderId="1" applyFont="1" applyNumberFormat="1" applyFill="1" applyBorder="1" applyAlignment="1">
      <alignment horizontal="center" vertical="center" textRotation="0" wrapText="true" shrinkToFit="false"/>
    </xf>
    <xf xfId="0" fontId="4" numFmtId="168" fillId="5" borderId="1" applyFont="1" applyNumberFormat="1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169" fillId="0" borderId="1" applyFont="1" applyNumberFormat="1" applyFill="0" applyBorder="1" applyAlignment="1">
      <alignment horizontal="center" vertical="center" textRotation="0" wrapText="false" shrinkToFit="false"/>
    </xf>
    <xf xfId="0" fontId="5" numFmtId="170" fillId="0" borderId="1" applyFont="1" applyNumberFormat="1" applyFill="0" applyBorder="1" applyAlignment="1">
      <alignment horizontal="center" vertical="center" textRotation="0" wrapText="false" shrinkToFit="false"/>
    </xf>
    <xf xfId="0" fontId="5" numFmtId="4" fillId="0" borderId="3" applyFont="1" applyNumberFormat="1" applyFill="0" applyBorder="1" applyAlignment="1">
      <alignment horizontal="center" vertical="center" textRotation="0" wrapText="true" shrinkToFit="false"/>
    </xf>
    <xf xfId="0" fontId="1" numFmtId="4" fillId="0" borderId="3" applyFont="1" applyNumberFormat="1" applyFill="0" applyBorder="1" applyAlignment="1">
      <alignment horizontal="center" vertical="center" textRotation="0" wrapText="true" shrinkToFit="false"/>
    </xf>
    <xf xfId="0" fontId="2" numFmtId="4" fillId="0" borderId="3" applyFont="1" applyNumberFormat="1" applyFill="0" applyBorder="1" applyAlignment="1">
      <alignment horizontal="center" vertical="center" textRotation="0" wrapText="true" shrinkToFit="false"/>
    </xf>
    <xf xfId="0" fontId="1" numFmtId="4" fillId="0" borderId="3" applyFont="1" applyNumberFormat="1" applyFill="0" applyBorder="1" applyAlignment="1">
      <alignment horizontal="center" vertical="center" textRotation="0" wrapText="false" shrinkToFit="false"/>
    </xf>
    <xf xfId="0" fontId="2" numFmtId="1" fillId="6" borderId="3" applyFont="1" applyNumberFormat="1" applyFill="1" applyBorder="1" applyAlignment="1">
      <alignment horizontal="center" vertical="center" textRotation="0" wrapText="true" shrinkToFit="false"/>
    </xf>
    <xf xfId="0" fontId="4" numFmtId="1" fillId="6" borderId="7" applyFont="1" applyNumberFormat="1" applyFill="1" applyBorder="1" applyAlignment="1">
      <alignment horizontal="center" vertical="center" textRotation="0" wrapText="true" shrinkToFit="false"/>
    </xf>
    <xf xfId="0" fontId="4" numFmtId="1" fillId="0" borderId="7" applyFont="1" applyNumberFormat="1" applyFill="0" applyBorder="1" applyAlignment="1">
      <alignment horizontal="center" vertical="center" textRotation="0" wrapText="true" shrinkToFit="false"/>
    </xf>
    <xf xfId="0" fontId="4" numFmtId="1" fillId="0" borderId="3" applyFont="1" applyNumberFormat="1" applyFill="0" applyBorder="1" applyAlignment="1">
      <alignment horizontal="center" vertical="center" textRotation="0" wrapText="true" shrinkToFit="false"/>
    </xf>
    <xf xfId="0" fontId="4" numFmtId="1" fillId="6" borderId="3" applyFont="1" applyNumberFormat="1" applyFill="1" applyBorder="1" applyAlignment="1">
      <alignment horizontal="center" vertical="center" textRotation="0" wrapText="true" shrinkToFit="false"/>
    </xf>
    <xf xfId="0" fontId="5" numFmtId="1" fillId="6" borderId="1" applyFont="1" applyNumberFormat="1" applyFill="1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1" fillId="6" borderId="3" applyFont="1" applyNumberFormat="1" applyFill="1" applyBorder="1" applyAlignment="1">
      <alignment horizontal="center" vertical="center" textRotation="0" wrapText="true" shrinkToFit="false"/>
    </xf>
    <xf xfId="0" fontId="4" numFmtId="1" fillId="0" borderId="3" applyFont="1" applyNumberFormat="1" applyFill="0" applyBorder="1" applyAlignment="1">
      <alignment horizontal="center" vertical="center" textRotation="0" wrapText="true" shrinkToFit="false"/>
    </xf>
    <xf xfId="0" fontId="5" numFmtId="1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8" numFmtId="172" fillId="0" borderId="3" applyFont="1" applyNumberFormat="1" applyFill="0" applyBorder="1" applyAlignment="1">
      <alignment horizontal="center" vertical="center" textRotation="0" wrapText="false" shrinkToFit="false"/>
    </xf>
    <xf xfId="0" fontId="9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1" fillId="0" borderId="3" applyFont="1" applyNumberFormat="1" applyFill="0" applyBorder="1" applyAlignment="1">
      <alignment horizontal="center" vertical="center" textRotation="0" wrapText="true" shrinkToFit="false"/>
    </xf>
    <xf xfId="0" fontId="10" numFmtId="0" fillId="0" borderId="3" applyFont="1" applyNumberFormat="0" applyFill="0" applyBorder="1" applyAlignment="1">
      <alignment horizontal="center" vertical="center" textRotation="0" wrapText="true" shrinkToFit="false"/>
    </xf>
    <xf xfId="0" fontId="10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7" applyFont="1" applyNumberFormat="0" applyFill="0" applyBorder="1" applyAlignment="1">
      <alignment horizontal="center" vertical="top" textRotation="0" wrapText="true" shrinkToFit="false"/>
    </xf>
    <xf xfId="0" fontId="11" numFmtId="0" fillId="0" borderId="8" applyFont="1" applyNumberFormat="0" applyFill="0" applyBorder="1" applyAlignment="1">
      <alignment horizontal="center" vertical="top" textRotation="0" wrapText="false" shrinkToFit="false"/>
    </xf>
    <xf xfId="0" fontId="5" numFmtId="0" fillId="0" borderId="3" applyFont="1" applyNumberFormat="0" applyFill="0" applyBorder="1" applyAlignment="1">
      <alignment horizontal="center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  <xf xfId="0" fontId="1" numFmtId="4" fillId="0" borderId="3" applyFont="1" applyNumberFormat="1" applyFill="0" applyBorder="1" applyAlignment="1">
      <alignment horizontal="center" vertical="top" textRotation="0" wrapText="true" shrinkToFit="false"/>
    </xf>
    <xf xfId="0" fontId="9" numFmtId="0" fillId="0" borderId="3" applyFont="1" applyNumberFormat="0" applyFill="0" applyBorder="1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3" numFmtId="0" fillId="2" borderId="10" applyFont="1" applyNumberFormat="0" applyFill="1" applyBorder="1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175" fillId="0" borderId="0" applyFont="1" applyNumberFormat="1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14" fillId="0" borderId="0" applyFont="1" applyNumberFormat="1" applyFill="0" applyBorder="0" applyAlignment="1">
      <alignment horizontal="center" vertical="center" textRotation="0" wrapText="tru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8" borderId="11" applyFont="1" applyNumberFormat="0" applyFill="1" applyBorder="1" applyAlignment="1">
      <alignment horizontal="center" vertical="center" textRotation="0" wrapText="false" shrinkToFit="false"/>
    </xf>
    <xf xfId="0" fontId="17" numFmtId="14" fillId="0" borderId="12" applyFont="1" applyNumberFormat="1" applyFill="0" applyBorder="1" applyAlignment="1">
      <alignment horizontal="center" vertical="center" textRotation="0" wrapText="true" shrinkToFit="false"/>
    </xf>
    <xf xfId="0" fontId="12" numFmtId="175" fillId="0" borderId="0" applyFont="1" applyNumberFormat="1" applyFill="0" applyBorder="0" applyAlignment="1">
      <alignment horizontal="center" vertical="center" textRotation="0" wrapText="false" shrinkToFit="false"/>
    </xf>
    <xf xfId="0" fontId="16" numFmtId="1" fillId="0" borderId="0" applyFont="1" applyNumberFormat="1" applyFill="0" applyBorder="0" applyAlignment="1">
      <alignment horizontal="center" vertical="center" textRotation="0" wrapText="false" shrinkToFit="false"/>
    </xf>
    <xf xfId="0" fontId="18" numFmtId="1" fillId="0" borderId="0" applyFont="1" applyNumberFormat="1" applyFill="0" applyBorder="0" applyAlignment="1">
      <alignment horizontal="center" vertical="center" textRotation="0" wrapText="false" shrinkToFit="false"/>
    </xf>
    <xf xfId="0" fontId="18" numFmtId="175" fillId="0" borderId="0" applyFont="1" applyNumberFormat="1" applyFill="0" applyBorder="0" applyAlignment="1">
      <alignment horizontal="center" vertical="center" textRotation="0" wrapText="false" shrinkToFit="false"/>
    </xf>
    <xf xfId="0" fontId="15" numFmtId="176" fillId="0" borderId="0" applyFont="1" applyNumberFormat="1" applyFill="0" applyBorder="0" applyAlignment="1">
      <alignment horizontal="center" vertical="center" textRotation="0" wrapText="false" shrinkToFit="false"/>
    </xf>
    <xf xfId="0" fontId="15" numFmtId="0" fillId="9" borderId="12" applyFont="1" applyNumberFormat="0" applyFill="1" applyBorder="1" applyAlignment="1">
      <alignment horizontal="center" vertical="center" textRotation="0" wrapText="true" shrinkToFit="false"/>
    </xf>
    <xf xfId="0" fontId="17" numFmtId="3" fillId="0" borderId="12" applyFont="1" applyNumberFormat="1" applyFill="0" applyBorder="1" applyAlignment="1">
      <alignment horizontal="center" vertical="center" textRotation="0" wrapText="true" shrinkToFit="false"/>
    </xf>
    <xf xfId="0" fontId="19" numFmtId="0" fillId="0" borderId="0" applyFont="1" applyNumberFormat="0" applyFill="0" applyBorder="0" applyAlignment="1">
      <alignment horizontal="center" vertical="center" textRotation="0" wrapText="true" shrinkToFit="false"/>
    </xf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7" borderId="13" applyFont="1" applyNumberFormat="0" applyFill="1" applyBorder="1" applyAlignment="1">
      <alignment horizontal="center" vertical="center" textRotation="0" wrapText="true" shrinkToFit="false"/>
    </xf>
    <xf xfId="0" fontId="17" numFmtId="3" fillId="0" borderId="13" applyFont="1" applyNumberFormat="1" applyFill="0" applyBorder="1" applyAlignment="1">
      <alignment horizontal="center" vertical="center" textRotation="0" wrapText="true" shrinkToFit="false"/>
    </xf>
    <xf xfId="0" fontId="15" numFmtId="0" fillId="10" borderId="13" applyFont="1" applyNumberFormat="0" applyFill="1" applyBorder="1" applyAlignment="1">
      <alignment horizontal="center" vertical="center" textRotation="0" wrapText="true" shrinkToFit="false"/>
    </xf>
    <xf xfId="0" fontId="20" numFmtId="1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21" numFmtId="0" fillId="0" borderId="14" applyFont="1" applyNumberFormat="0" applyFill="0" applyBorder="1" applyAlignment="1">
      <alignment horizontal="center" vertical="center" textRotation="0" wrapText="true" shrinkToFit="false"/>
    </xf>
    <xf xfId="0" fontId="21" numFmtId="168" fillId="0" borderId="15" applyFont="1" applyNumberFormat="1" applyFill="0" applyBorder="1" applyAlignment="1">
      <alignment horizontal="center" vertical="center" textRotation="0" wrapText="true" shrinkToFit="false"/>
    </xf>
    <xf xfId="0" fontId="21" numFmtId="0" fillId="0" borderId="0" applyFont="1" applyNumberFormat="0" applyFill="0" applyBorder="0" applyAlignment="1">
      <alignment horizontal="center" vertical="center" textRotation="0" wrapText="true" shrinkToFit="false"/>
    </xf>
    <xf xfId="0" fontId="21" numFmtId="168" fillId="0" borderId="0" applyFont="1" applyNumberFormat="1" applyFill="0" applyBorder="0" applyAlignment="1">
      <alignment horizontal="center" vertical="center" textRotation="0" wrapText="true" shrinkToFit="false"/>
    </xf>
    <xf xfId="0" fontId="22" numFmtId="0" fillId="2" borderId="3" applyFont="1" applyNumberFormat="0" applyFill="1" applyBorder="1" applyAlignment="1">
      <alignment horizontal="center" vertical="center" textRotation="0" wrapText="true" shrinkToFit="false"/>
    </xf>
    <xf xfId="0" fontId="22" numFmtId="0" fillId="2" borderId="16" applyFont="1" applyNumberFormat="0" applyFill="1" applyBorder="1" applyAlignment="1">
      <alignment horizontal="center" vertical="center" textRotation="0" wrapText="true" shrinkToFit="false"/>
    </xf>
    <xf xfId="0" fontId="22" numFmtId="1" fillId="2" borderId="6" applyFont="1" applyNumberFormat="1" applyFill="1" applyBorder="1" applyAlignment="1">
      <alignment horizontal="center" vertical="center" textRotation="0" wrapText="true" shrinkToFit="false"/>
    </xf>
    <xf xfId="0" fontId="22" numFmtId="1" fillId="2" borderId="1" applyFont="1" applyNumberFormat="1" applyFill="1" applyBorder="1" applyAlignment="1">
      <alignment horizontal="center" vertical="center" textRotation="0" wrapText="true" shrinkToFit="false"/>
    </xf>
    <xf xfId="0" fontId="22" numFmtId="0" fillId="2" borderId="1" applyFont="1" applyNumberFormat="0" applyFill="1" applyBorder="1" applyAlignment="1">
      <alignment horizontal="center" vertical="center" textRotation="0" wrapText="true" shrinkToFit="false"/>
    </xf>
    <xf xfId="0" fontId="22" numFmtId="165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k7dqW5ZnQ4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28575</xdr:colOff>
      <xdr:row>2</xdr:row>
      <xdr:rowOff>542925</xdr:rowOff>
    </xdr:from>
    <xdr:ext cx="4086225" cy="1323975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7</xdr:row>
      <xdr:rowOff>266700</xdr:rowOff>
    </xdr:from>
    <xdr:ext cx="1238250" cy="1238250"/>
    <xdr:pic>
      <xdr:nvPicPr>
        <xdr:cNvPr id="2" name="Anh" descr="Mai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3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4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5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6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4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200"/>
  <sheetViews>
    <sheetView tabSelected="1" workbookViewId="0" zoomScale="70" zoomScaleNormal="70" showGridLines="true" showRowColHeaders="1">
      <selection activeCell="E8" sqref="E8:E200"/>
    </sheetView>
  </sheetViews>
  <sheetFormatPr defaultRowHeight="14.4" outlineLevelRow="0" outlineLevelCol="0"/>
  <cols>
    <col min="1" max="1" width="9.140625" customWidth="true" style="74"/>
    <col min="2" max="2" width="125.42578125" customWidth="true" style="74"/>
    <col min="3" max="3" width="30.42578125" customWidth="true" style="75"/>
    <col min="4" max="4" width="68.411865" bestFit="true" customWidth="true" style="75"/>
    <col min="5" max="5" width="30.5703125" customWidth="true" style="74"/>
    <col min="6" max="6" width="15.281982" bestFit="true" customWidth="true" style="74"/>
    <col min="7" max="7" width="27.85546875" customWidth="true" style="74"/>
    <col min="8" max="8" width="20" customWidth="true" style="74"/>
    <col min="9" max="9" width="29.42578125" customWidth="true" style="74"/>
    <col min="10" max="10" width="31.42578125" customWidth="true" style="74"/>
    <col min="11" max="11" width="13.282471" bestFit="true" customWidth="true" style="74"/>
    <col min="12" max="12" width="17.140625" customWidth="true" style="74"/>
    <col min="13" max="13" width="15.28515625" customWidth="true" style="74"/>
    <col min="14" max="14" width="16.7109375" customWidth="true" style="76"/>
    <col min="15" max="15" width="17.5703125" customWidth="true" style="74"/>
    <col min="16" max="16" width="16.42578125" customWidth="true" style="74"/>
    <col min="17" max="17" width="15.28515625" customWidth="true" style="74"/>
    <col min="18" max="18" width="13.42578125" customWidth="true" style="74"/>
    <col min="19" max="19" width="15.85546875" customWidth="true" style="74"/>
    <col min="20" max="20" width="22.85546875" customWidth="true" style="74"/>
    <col min="21" max="21" width="33.848877" bestFit="true" customWidth="true" style="74"/>
    <col min="22" max="22" width="33.848877" bestFit="true" customWidth="true" style="74"/>
    <col min="23" max="23" width="31.28515625" customWidth="true" style="74"/>
    <col min="24" max="24" width="9.140625" customWidth="true" style="74"/>
    <col min="25" max="25" width="18.28515625" customWidth="true" style="74"/>
    <col min="26" max="26" width="15.28515625" customWidth="true" style="74"/>
    <col min="27" max="27" width="16" customWidth="true" style="74"/>
    <col min="28" max="28" width="9.140625" customWidth="true" style="74"/>
    <col min="29" max="29" width="13.5703125" customWidth="true" style="74"/>
    <col min="30" max="30" width="9.140625" customWidth="true" style="74"/>
  </cols>
  <sheetData>
    <row r="1" spans="1:46" customHeight="1" ht="15.75"/>
    <row r="2" spans="1:46" customHeight="1" ht="56.25">
      <c r="A2" s="92" t="s">
        <v>0</v>
      </c>
      <c r="B2" s="93" t="s">
        <v>1</v>
      </c>
      <c r="C2" s="93"/>
      <c r="D2" s="93"/>
      <c r="E2" s="94"/>
      <c r="F2" s="94"/>
      <c r="G2" s="95"/>
      <c r="H2" s="95"/>
      <c r="I2" s="95"/>
      <c r="J2" s="95"/>
      <c r="K2" s="95"/>
      <c r="L2" s="95"/>
      <c r="M2" s="96"/>
      <c r="N2" s="94"/>
      <c r="O2" s="96"/>
      <c r="P2" s="96"/>
      <c r="Q2" s="96"/>
      <c r="R2" s="96"/>
      <c r="S2" s="96"/>
      <c r="T2" s="96"/>
      <c r="U2" s="97"/>
      <c r="V2" s="98" t="s">
        <v>2</v>
      </c>
      <c r="W2" s="99">
        <v>35982</v>
      </c>
    </row>
    <row r="3" spans="1:46" customHeight="1" ht="44.25">
      <c r="A3" s="92"/>
      <c r="B3" s="100" t="s">
        <v>3</v>
      </c>
      <c r="C3" s="101"/>
      <c r="D3" s="102"/>
      <c r="E3" s="103"/>
      <c r="F3" s="103"/>
      <c r="G3" s="95"/>
      <c r="H3" s="95"/>
      <c r="I3" s="95"/>
      <c r="J3" s="95"/>
      <c r="K3" s="95"/>
      <c r="L3" s="95"/>
      <c r="M3" s="104"/>
      <c r="N3" s="94"/>
      <c r="O3" s="104"/>
      <c r="P3" s="104"/>
      <c r="Q3" s="104"/>
      <c r="R3" s="104"/>
      <c r="S3" s="104"/>
      <c r="T3" s="104"/>
      <c r="U3" s="94"/>
      <c r="V3" s="105" t="s">
        <v>4</v>
      </c>
      <c r="W3" s="106">
        <f>W5-W4</f>
        <v>-1382500</v>
      </c>
    </row>
    <row r="4" spans="1:46" customHeight="1" ht="44.25">
      <c r="A4" s="95"/>
      <c r="B4" s="107" t="s">
        <v>5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  <c r="O4" s="109"/>
      <c r="P4" s="109"/>
      <c r="Q4" s="109"/>
      <c r="R4" s="109"/>
      <c r="S4" s="109"/>
      <c r="T4" s="95"/>
      <c r="U4" s="95"/>
      <c r="V4" s="110" t="s">
        <v>6</v>
      </c>
      <c r="W4" s="111">
        <v>1382500.0</v>
      </c>
      <c r="X4" s="1"/>
      <c r="Y4" s="1"/>
      <c r="Z4" s="2"/>
      <c r="AA4" s="3"/>
      <c r="AB4" s="3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customHeight="1" ht="44.25">
      <c r="A5" s="95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9"/>
      <c r="O5" s="109"/>
      <c r="P5" s="109"/>
      <c r="Q5" s="109"/>
      <c r="R5" s="109"/>
      <c r="S5" s="109"/>
      <c r="T5" s="95"/>
      <c r="U5" s="95"/>
      <c r="V5" s="112" t="s">
        <v>7</v>
      </c>
      <c r="W5" s="111">
        <v>0</v>
      </c>
      <c r="X5" s="1"/>
      <c r="Y5" s="89" t="s">
        <v>8</v>
      </c>
      <c r="Z5" s="89"/>
      <c r="AA5" s="89"/>
      <c r="AB5" s="89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customHeight="1" ht="27">
      <c r="A6" s="95"/>
      <c r="B6" s="109"/>
      <c r="C6" s="113"/>
      <c r="D6" s="113"/>
      <c r="E6" s="109"/>
      <c r="F6" s="109"/>
      <c r="G6" s="109"/>
      <c r="H6" s="114"/>
      <c r="I6" s="115" t="s">
        <v>9</v>
      </c>
      <c r="J6" s="116">
        <f>SUM(J8:J12)</f>
        <v>0</v>
      </c>
      <c r="K6" s="95"/>
      <c r="L6" s="95"/>
      <c r="M6" s="95"/>
      <c r="N6" s="117"/>
      <c r="O6" s="118"/>
      <c r="P6" s="118"/>
      <c r="Q6" s="118"/>
      <c r="R6" s="118"/>
      <c r="S6" s="118"/>
      <c r="T6" s="114"/>
      <c r="U6" s="114"/>
      <c r="V6" s="114"/>
      <c r="W6" s="114"/>
      <c r="X6" s="4"/>
      <c r="Y6" s="3"/>
      <c r="Z6" s="3"/>
      <c r="AA6" s="3"/>
      <c r="AB6" s="3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customHeight="1" ht="76.5">
      <c r="A7" s="119" t="s">
        <v>10</v>
      </c>
      <c r="B7" s="120" t="s">
        <v>11</v>
      </c>
      <c r="C7" s="121" t="s">
        <v>12</v>
      </c>
      <c r="D7" s="122" t="s">
        <v>13</v>
      </c>
      <c r="E7" s="123" t="s">
        <v>14</v>
      </c>
      <c r="F7" s="123" t="s">
        <v>15</v>
      </c>
      <c r="G7" s="123" t="s">
        <v>16</v>
      </c>
      <c r="H7" s="123" t="s">
        <v>17</v>
      </c>
      <c r="I7" s="123" t="s">
        <v>18</v>
      </c>
      <c r="J7" s="123" t="s">
        <v>19</v>
      </c>
      <c r="K7" s="123" t="s">
        <v>20</v>
      </c>
      <c r="L7" s="123" t="s">
        <v>21</v>
      </c>
      <c r="M7" s="123" t="s">
        <v>22</v>
      </c>
      <c r="N7" s="123" t="s">
        <v>23</v>
      </c>
      <c r="O7" s="123" t="s">
        <v>24</v>
      </c>
      <c r="P7" s="123" t="s">
        <v>25</v>
      </c>
      <c r="Q7" s="123" t="s">
        <v>26</v>
      </c>
      <c r="R7" s="123" t="s">
        <v>27</v>
      </c>
      <c r="S7" s="123" t="s">
        <v>28</v>
      </c>
      <c r="T7" s="123" t="s">
        <v>29</v>
      </c>
      <c r="U7" s="124" t="s">
        <v>30</v>
      </c>
      <c r="V7" s="124" t="s">
        <v>31</v>
      </c>
      <c r="W7" s="119" t="s">
        <v>32</v>
      </c>
      <c r="X7" s="6"/>
      <c r="Y7" s="5"/>
      <c r="Z7" s="5" t="s">
        <v>33</v>
      </c>
      <c r="AA7" s="7" t="s">
        <v>34</v>
      </c>
      <c r="AB7" s="90" t="s">
        <v>35</v>
      </c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</row>
    <row r="8" spans="1:46" customHeight="1" ht="120">
      <c r="A8" s="8">
        <v>1</v>
      </c>
      <c r="B8" s="9" t="s">
        <v>36</v>
      </c>
      <c r="C8" s="10">
        <v>4589788400012</v>
      </c>
      <c r="D8" s="61" t="s">
        <v>37</v>
      </c>
      <c r="E8" s="82"/>
      <c r="F8" s="11">
        <v>50</v>
      </c>
      <c r="G8" s="12">
        <v>12</v>
      </c>
      <c r="H8" s="13">
        <v>600</v>
      </c>
      <c r="I8" s="14">
        <v>2370.0</v>
      </c>
      <c r="J8" s="15"/>
      <c r="K8" s="16"/>
      <c r="L8" s="17"/>
      <c r="M8" s="18">
        <v>1422000.0</v>
      </c>
      <c r="N8" s="66">
        <v>10.0</v>
      </c>
      <c r="O8" s="66">
        <v>210</v>
      </c>
      <c r="P8" s="66">
        <v>240</v>
      </c>
      <c r="Q8" s="66">
        <v>360</v>
      </c>
      <c r="R8" s="66">
        <v>10.0</v>
      </c>
      <c r="S8" s="66">
        <v>18.144</v>
      </c>
      <c r="T8" s="12"/>
      <c r="U8" s="19" t="s">
        <v>38</v>
      </c>
      <c r="V8" s="19" t="s">
        <v>39</v>
      </c>
      <c r="W8" s="20"/>
      <c r="X8" s="21"/>
      <c r="Y8" s="22">
        <f>Z8-M8</f>
        <v>-1422000</v>
      </c>
      <c r="Z8" s="23">
        <f>SUM(AB8:AI8)</f>
        <v>0</v>
      </c>
      <c r="AA8" s="19">
        <v>44195</v>
      </c>
      <c r="AB8" s="24">
        <v>0</v>
      </c>
      <c r="AC8" s="25" t="s">
        <v>40</v>
      </c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</row>
    <row r="9" spans="1:46" customHeight="1" ht="120">
      <c r="A9" s="8"/>
      <c r="B9" s="26"/>
      <c r="C9" s="63"/>
      <c r="D9" s="62"/>
      <c r="E9" s="83"/>
      <c r="F9" s="27"/>
      <c r="G9" s="28"/>
      <c r="H9" s="13"/>
      <c r="I9" s="29"/>
      <c r="J9" s="15"/>
      <c r="K9" s="16"/>
      <c r="L9" s="17"/>
      <c r="M9" s="18"/>
      <c r="N9" s="66"/>
      <c r="O9" s="66"/>
      <c r="P9" s="66"/>
      <c r="Q9" s="66"/>
      <c r="R9" s="66"/>
      <c r="S9" s="66"/>
      <c r="T9" s="12"/>
      <c r="U9" s="19"/>
      <c r="V9" s="19"/>
      <c r="W9" s="30"/>
      <c r="X9" s="21"/>
      <c r="Y9" s="22">
        <f>Z9-M9+Y8</f>
        <v>-466000</v>
      </c>
      <c r="Z9" s="25">
        <f>SUM(AB9:AT9)</f>
        <v>956000</v>
      </c>
      <c r="AA9" s="19">
        <v>44221</v>
      </c>
      <c r="AB9" s="24">
        <v>236000</v>
      </c>
      <c r="AC9" s="24">
        <v>50000</v>
      </c>
      <c r="AD9" s="24">
        <v>30000</v>
      </c>
      <c r="AE9" s="24">
        <v>390000</v>
      </c>
      <c r="AF9" s="24">
        <v>50000</v>
      </c>
      <c r="AG9" s="24">
        <v>200000</v>
      </c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</row>
    <row r="10" spans="1:46" customHeight="1" ht="120">
      <c r="A10" s="8"/>
      <c r="B10" s="9"/>
      <c r="C10" s="71"/>
      <c r="D10" s="63"/>
      <c r="E10" s="84"/>
      <c r="F10" s="27"/>
      <c r="G10" s="28"/>
      <c r="H10" s="13"/>
      <c r="I10" s="29"/>
      <c r="J10" s="15"/>
      <c r="K10" s="16"/>
      <c r="L10" s="17"/>
      <c r="M10" s="18"/>
      <c r="N10" s="66"/>
      <c r="O10" s="66"/>
      <c r="P10" s="66"/>
      <c r="Q10" s="66"/>
      <c r="R10" s="66"/>
      <c r="S10" s="66"/>
      <c r="T10" s="12"/>
      <c r="U10" s="19"/>
      <c r="V10" s="19"/>
      <c r="W10" s="20"/>
      <c r="X10" s="21"/>
      <c r="Y10" s="22">
        <f>Z10-M10+Y9</f>
        <v>1704000</v>
      </c>
      <c r="Z10" s="25">
        <f>SUM(AB10:AT10)</f>
        <v>2170000</v>
      </c>
      <c r="AA10" s="19">
        <v>44227</v>
      </c>
      <c r="AB10" s="24">
        <v>100000</v>
      </c>
      <c r="AC10" s="24">
        <v>26000</v>
      </c>
      <c r="AD10" s="24">
        <v>60000</v>
      </c>
      <c r="AE10" s="24">
        <v>200000</v>
      </c>
      <c r="AF10" s="24">
        <v>385000</v>
      </c>
      <c r="AG10" s="24">
        <v>32000</v>
      </c>
      <c r="AH10" s="24">
        <v>50000</v>
      </c>
      <c r="AI10" s="24">
        <v>45000</v>
      </c>
      <c r="AJ10" s="24">
        <v>100000</v>
      </c>
      <c r="AK10" s="24">
        <v>182000</v>
      </c>
      <c r="AL10" s="24">
        <v>40000</v>
      </c>
      <c r="AM10" s="24">
        <v>70000</v>
      </c>
      <c r="AN10" s="24">
        <v>100000</v>
      </c>
      <c r="AO10" s="24">
        <v>170000</v>
      </c>
      <c r="AP10" s="24">
        <v>25000</v>
      </c>
      <c r="AQ10" s="24">
        <v>180000</v>
      </c>
      <c r="AR10" s="24">
        <v>350000</v>
      </c>
      <c r="AS10" s="24">
        <v>5000</v>
      </c>
      <c r="AT10" s="24">
        <v>50000</v>
      </c>
    </row>
    <row r="11" spans="1:46" customHeight="1" ht="120">
      <c r="A11" s="8"/>
      <c r="B11" s="31"/>
      <c r="C11" s="72"/>
      <c r="D11" s="64"/>
      <c r="E11" s="84"/>
      <c r="F11" s="27"/>
      <c r="G11" s="32"/>
      <c r="H11" s="33"/>
      <c r="I11" s="34"/>
      <c r="J11" s="35"/>
      <c r="K11" s="36"/>
      <c r="L11" s="37"/>
      <c r="M11" s="38"/>
      <c r="N11" s="67"/>
      <c r="O11" s="67"/>
      <c r="P11" s="67"/>
      <c r="Q11" s="67"/>
      <c r="R11" s="70"/>
      <c r="S11" s="70"/>
      <c r="T11" s="12"/>
      <c r="U11" s="39"/>
      <c r="V11" s="40"/>
      <c r="W11" s="20"/>
      <c r="X11" s="21"/>
      <c r="Y11" s="22">
        <f>Z11-M11+Y10</f>
        <v>2004000</v>
      </c>
      <c r="Z11" s="25">
        <f>SUM(AB11:AT11)</f>
        <v>300000</v>
      </c>
      <c r="AA11" s="19">
        <v>44236</v>
      </c>
      <c r="AB11" s="24">
        <v>300000</v>
      </c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</row>
    <row r="12" spans="1:46" customHeight="1" ht="120">
      <c r="A12" s="43"/>
      <c r="B12" s="44"/>
      <c r="C12" s="73"/>
      <c r="D12" s="65"/>
      <c r="E12" s="85"/>
      <c r="F12" s="45"/>
      <c r="G12" s="46"/>
      <c r="H12" s="47"/>
      <c r="I12" s="48"/>
      <c r="J12" s="49"/>
      <c r="K12" s="50"/>
      <c r="L12" s="51"/>
      <c r="M12" s="52"/>
      <c r="N12" s="68"/>
      <c r="O12" s="68"/>
      <c r="P12" s="68"/>
      <c r="Q12" s="68"/>
      <c r="R12" s="68"/>
      <c r="S12" s="68"/>
      <c r="T12" s="53"/>
      <c r="U12" s="54"/>
      <c r="V12" s="54"/>
      <c r="W12" s="55"/>
      <c r="X12" s="21"/>
      <c r="Y12" s="22">
        <f>Z12-M12+Y11</f>
        <v>2024000</v>
      </c>
      <c r="Z12" s="25">
        <f>SUM(AB12:AT12)</f>
        <v>20000</v>
      </c>
      <c r="AA12" s="19">
        <v>44237</v>
      </c>
      <c r="AB12" s="24">
        <v>20000</v>
      </c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</row>
    <row r="13" spans="1:46" customHeight="1" ht="120">
      <c r="A13" s="56"/>
      <c r="B13" s="56"/>
      <c r="C13" s="60"/>
      <c r="D13" s="60"/>
      <c r="E13" s="86"/>
      <c r="F13" s="58"/>
      <c r="G13" s="57"/>
      <c r="H13" s="57"/>
      <c r="I13" s="57"/>
      <c r="J13" s="57"/>
      <c r="K13" s="57"/>
      <c r="L13" s="57"/>
      <c r="M13" s="58"/>
      <c r="N13" s="69"/>
      <c r="O13" s="69"/>
      <c r="P13" s="69"/>
      <c r="Q13" s="69"/>
      <c r="R13" s="69"/>
      <c r="S13" s="69"/>
      <c r="T13" s="59"/>
      <c r="U13" s="59"/>
      <c r="V13" s="59"/>
      <c r="W13" s="59"/>
      <c r="X13" s="21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</row>
    <row r="14" spans="1:46" customHeight="1" ht="120">
      <c r="A14" s="78"/>
      <c r="B14" s="78"/>
      <c r="C14" s="79"/>
      <c r="D14" s="79"/>
      <c r="E14" s="87"/>
      <c r="F14" s="78"/>
      <c r="G14" s="78"/>
      <c r="H14" s="78"/>
      <c r="I14" s="78"/>
      <c r="J14" s="78"/>
      <c r="K14" s="78"/>
      <c r="L14" s="78"/>
      <c r="M14" s="78"/>
      <c r="N14" s="80"/>
      <c r="O14" s="80"/>
      <c r="P14" s="80"/>
      <c r="Q14" s="80"/>
      <c r="R14" s="80"/>
      <c r="S14" s="80"/>
      <c r="T14" s="81"/>
      <c r="U14" s="81"/>
      <c r="V14" s="81"/>
      <c r="W14" s="81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</row>
    <row r="15" spans="1:46" customHeight="1" ht="25.5">
      <c r="A15" s="78"/>
      <c r="B15" s="78"/>
      <c r="C15" s="79"/>
      <c r="D15" s="79"/>
      <c r="E15" s="87"/>
      <c r="F15" s="78"/>
      <c r="G15" s="78"/>
      <c r="H15" s="78"/>
      <c r="I15" s="78"/>
      <c r="J15" s="78"/>
      <c r="K15" s="78"/>
      <c r="L15" s="78"/>
      <c r="M15" s="78"/>
      <c r="N15" s="80"/>
      <c r="O15" s="80"/>
      <c r="P15" s="80"/>
      <c r="Q15" s="80"/>
      <c r="R15" s="80"/>
      <c r="S15" s="80"/>
      <c r="T15" s="81"/>
      <c r="U15" s="81"/>
      <c r="V15" s="81"/>
      <c r="W15" s="81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</row>
    <row r="16" spans="1:46" customHeight="1" ht="25.5">
      <c r="A16" s="78"/>
      <c r="B16" s="78"/>
      <c r="C16" s="79"/>
      <c r="D16" s="79"/>
      <c r="E16" s="87"/>
      <c r="F16" s="78"/>
      <c r="G16" s="78"/>
      <c r="H16" s="78"/>
      <c r="I16" s="78"/>
      <c r="J16" s="78"/>
      <c r="K16" s="78"/>
      <c r="L16" s="78"/>
      <c r="M16" s="78"/>
      <c r="N16" s="80"/>
      <c r="O16" s="80"/>
      <c r="P16" s="80"/>
      <c r="Q16" s="80"/>
      <c r="R16" s="80"/>
      <c r="S16" s="80"/>
      <c r="T16" s="81"/>
      <c r="U16" s="81"/>
      <c r="V16" s="81"/>
      <c r="W16" s="81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</row>
    <row r="17" spans="1:46" customHeight="1" ht="25.5">
      <c r="A17" s="78"/>
      <c r="B17" s="78"/>
      <c r="C17" s="79"/>
      <c r="D17" s="79"/>
      <c r="E17" s="87"/>
      <c r="F17" s="78"/>
      <c r="G17" s="78"/>
      <c r="H17" s="78"/>
      <c r="I17" s="78"/>
      <c r="J17" s="78"/>
      <c r="K17" s="78"/>
      <c r="L17" s="78"/>
      <c r="M17" s="78"/>
      <c r="N17" s="80"/>
      <c r="O17" s="80"/>
      <c r="P17" s="80"/>
      <c r="Q17" s="80"/>
      <c r="R17" s="80"/>
      <c r="S17" s="80"/>
      <c r="T17" s="81"/>
      <c r="U17" s="81"/>
      <c r="V17" s="81"/>
      <c r="W17" s="81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</row>
    <row r="18" spans="1:46" customHeight="1" ht="25.5">
      <c r="A18" s="78"/>
      <c r="B18" s="78"/>
      <c r="C18" s="79"/>
      <c r="D18" s="79"/>
      <c r="E18" s="87"/>
      <c r="F18" s="78"/>
      <c r="G18" s="78"/>
      <c r="H18" s="78"/>
      <c r="I18" s="78"/>
      <c r="J18" s="78"/>
      <c r="K18" s="78"/>
      <c r="L18" s="78"/>
      <c r="M18" s="78"/>
      <c r="N18" s="80"/>
      <c r="O18" s="80"/>
      <c r="P18" s="80"/>
      <c r="Q18" s="80"/>
      <c r="R18" s="80"/>
      <c r="S18" s="80"/>
      <c r="T18" s="81"/>
      <c r="U18" s="81"/>
      <c r="V18" s="81"/>
      <c r="W18" s="81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</row>
    <row r="19" spans="1:46">
      <c r="E19" s="88"/>
    </row>
    <row r="20" spans="1:46">
      <c r="E20" s="88"/>
    </row>
    <row r="21" spans="1:46">
      <c r="E21" s="88"/>
    </row>
    <row r="22" spans="1:46">
      <c r="E22" s="88"/>
    </row>
    <row r="23" spans="1:46">
      <c r="E23" s="88"/>
    </row>
    <row r="24" spans="1:46">
      <c r="E24" s="88"/>
    </row>
    <row r="25" spans="1:46">
      <c r="E25" s="88"/>
    </row>
    <row r="26" spans="1:46">
      <c r="E26" s="88"/>
    </row>
    <row r="27" spans="1:46">
      <c r="E27" s="88"/>
    </row>
    <row r="28" spans="1:46">
      <c r="E28" s="88"/>
    </row>
    <row r="29" spans="1:46">
      <c r="E29" s="88"/>
    </row>
    <row r="30" spans="1:46">
      <c r="E30" s="88"/>
    </row>
    <row r="31" spans="1:46">
      <c r="E31" s="88"/>
    </row>
    <row r="32" spans="1:46">
      <c r="E32" s="88"/>
    </row>
    <row r="33" spans="1:46">
      <c r="E33" s="88"/>
    </row>
    <row r="34" spans="1:46">
      <c r="E34" s="88"/>
    </row>
    <row r="35" spans="1:46">
      <c r="E35" s="88"/>
    </row>
    <row r="36" spans="1:46">
      <c r="E36" s="88"/>
    </row>
    <row r="37" spans="1:46">
      <c r="E37" s="88"/>
    </row>
    <row r="38" spans="1:46">
      <c r="E38" s="88"/>
    </row>
    <row r="39" spans="1:46">
      <c r="E39" s="88"/>
    </row>
    <row r="40" spans="1:46">
      <c r="E40" s="88"/>
    </row>
    <row r="41" spans="1:46">
      <c r="E41" s="88"/>
    </row>
    <row r="42" spans="1:46">
      <c r="E42" s="88"/>
    </row>
    <row r="43" spans="1:46">
      <c r="E43" s="88"/>
    </row>
    <row r="44" spans="1:46">
      <c r="E44" s="88"/>
    </row>
    <row r="45" spans="1:46">
      <c r="E45" s="88"/>
    </row>
    <row r="46" spans="1:46">
      <c r="E46" s="88"/>
    </row>
    <row r="47" spans="1:46">
      <c r="E47" s="88"/>
    </row>
    <row r="48" spans="1:46">
      <c r="E48" s="88"/>
    </row>
    <row r="49" spans="1:46">
      <c r="E49" s="88"/>
    </row>
    <row r="50" spans="1:46">
      <c r="E50" s="88"/>
    </row>
    <row r="51" spans="1:46">
      <c r="E51" s="88"/>
    </row>
    <row r="52" spans="1:46">
      <c r="E52" s="88"/>
    </row>
    <row r="53" spans="1:46">
      <c r="E53" s="88"/>
    </row>
    <row r="54" spans="1:46">
      <c r="E54" s="88"/>
    </row>
    <row r="55" spans="1:46">
      <c r="E55" s="88"/>
    </row>
    <row r="56" spans="1:46">
      <c r="E56" s="88"/>
    </row>
    <row r="57" spans="1:46">
      <c r="E57" s="88"/>
    </row>
    <row r="58" spans="1:46">
      <c r="E58" s="88"/>
    </row>
    <row r="59" spans="1:46">
      <c r="E59" s="88"/>
    </row>
    <row r="60" spans="1:46">
      <c r="E60" s="88"/>
    </row>
    <row r="61" spans="1:46">
      <c r="E61" s="88"/>
    </row>
    <row r="62" spans="1:46">
      <c r="E62" s="88"/>
    </row>
    <row r="63" spans="1:46">
      <c r="E63" s="88"/>
    </row>
    <row r="64" spans="1:46">
      <c r="E64" s="88"/>
    </row>
    <row r="65" spans="1:46">
      <c r="E65" s="88"/>
    </row>
    <row r="66" spans="1:46">
      <c r="E66" s="88"/>
    </row>
    <row r="67" spans="1:46">
      <c r="E67" s="88"/>
    </row>
    <row r="68" spans="1:46">
      <c r="E68" s="88"/>
    </row>
    <row r="69" spans="1:46">
      <c r="E69" s="88"/>
    </row>
    <row r="70" spans="1:46">
      <c r="E70" s="88"/>
    </row>
    <row r="71" spans="1:46">
      <c r="E71" s="88"/>
    </row>
    <row r="72" spans="1:46">
      <c r="E72" s="88"/>
    </row>
    <row r="73" spans="1:46">
      <c r="E73" s="88"/>
    </row>
    <row r="74" spans="1:46">
      <c r="E74" s="88"/>
    </row>
    <row r="75" spans="1:46">
      <c r="E75" s="88"/>
    </row>
    <row r="76" spans="1:46">
      <c r="E76" s="88"/>
    </row>
    <row r="77" spans="1:46">
      <c r="E77" s="88"/>
    </row>
    <row r="78" spans="1:46">
      <c r="E78" s="88"/>
    </row>
    <row r="79" spans="1:46">
      <c r="E79" s="88"/>
    </row>
    <row r="80" spans="1:46">
      <c r="E80" s="88"/>
    </row>
    <row r="81" spans="1:46">
      <c r="E81" s="88"/>
    </row>
    <row r="82" spans="1:46">
      <c r="E82" s="88"/>
    </row>
    <row r="83" spans="1:46">
      <c r="E83" s="88"/>
    </row>
    <row r="84" spans="1:46">
      <c r="E84" s="88"/>
    </row>
    <row r="85" spans="1:46">
      <c r="E85" s="88"/>
    </row>
    <row r="86" spans="1:46">
      <c r="E86" s="88"/>
    </row>
    <row r="87" spans="1:46">
      <c r="E87" s="88"/>
    </row>
    <row r="88" spans="1:46">
      <c r="E88" s="88"/>
    </row>
    <row r="89" spans="1:46">
      <c r="E89" s="88"/>
    </row>
    <row r="90" spans="1:46">
      <c r="E90" s="88"/>
    </row>
    <row r="91" spans="1:46">
      <c r="E91" s="88"/>
    </row>
    <row r="92" spans="1:46">
      <c r="E92" s="88"/>
    </row>
    <row r="93" spans="1:46">
      <c r="E93" s="88"/>
    </row>
    <row r="94" spans="1:46">
      <c r="E94" s="88"/>
    </row>
    <row r="95" spans="1:46">
      <c r="E95" s="88"/>
    </row>
    <row r="96" spans="1:46">
      <c r="E96" s="88"/>
    </row>
    <row r="97" spans="1:46">
      <c r="E97" s="88"/>
    </row>
    <row r="98" spans="1:46">
      <c r="E98" s="88"/>
    </row>
    <row r="99" spans="1:46">
      <c r="E99" s="88"/>
    </row>
    <row r="100" spans="1:46">
      <c r="E100" s="88"/>
    </row>
    <row r="101" spans="1:46">
      <c r="E101" s="88"/>
    </row>
    <row r="102" spans="1:46">
      <c r="E102" s="88"/>
    </row>
    <row r="103" spans="1:46">
      <c r="E103" s="88"/>
    </row>
    <row r="104" spans="1:46">
      <c r="E104" s="88"/>
    </row>
    <row r="105" spans="1:46">
      <c r="E105" s="88"/>
    </row>
    <row r="106" spans="1:46">
      <c r="E106" s="88"/>
    </row>
    <row r="107" spans="1:46">
      <c r="E107" s="88"/>
    </row>
    <row r="108" spans="1:46">
      <c r="E108" s="88"/>
    </row>
    <row r="109" spans="1:46">
      <c r="E109" s="88"/>
    </row>
    <row r="110" spans="1:46">
      <c r="E110" s="88"/>
    </row>
    <row r="111" spans="1:46">
      <c r="E111" s="88"/>
    </row>
    <row r="112" spans="1:46">
      <c r="E112" s="88"/>
    </row>
    <row r="113" spans="1:46">
      <c r="E113" s="88"/>
    </row>
    <row r="114" spans="1:46">
      <c r="E114" s="88"/>
    </row>
    <row r="115" spans="1:46">
      <c r="E115" s="88"/>
    </row>
    <row r="116" spans="1:46">
      <c r="E116" s="88"/>
    </row>
    <row r="117" spans="1:46">
      <c r="E117" s="88"/>
    </row>
    <row r="118" spans="1:46">
      <c r="E118" s="88"/>
    </row>
    <row r="119" spans="1:46">
      <c r="E119" s="88"/>
    </row>
    <row r="120" spans="1:46">
      <c r="E120" s="88"/>
    </row>
    <row r="121" spans="1:46">
      <c r="E121" s="88"/>
    </row>
    <row r="122" spans="1:46">
      <c r="E122" s="88"/>
    </row>
    <row r="123" spans="1:46">
      <c r="E123" s="88"/>
    </row>
    <row r="124" spans="1:46">
      <c r="E124" s="88"/>
    </row>
    <row r="125" spans="1:46">
      <c r="E125" s="88"/>
    </row>
    <row r="126" spans="1:46">
      <c r="E126" s="88"/>
    </row>
    <row r="127" spans="1:46">
      <c r="E127" s="88"/>
    </row>
    <row r="128" spans="1:46">
      <c r="E128" s="88"/>
    </row>
    <row r="129" spans="1:46">
      <c r="E129" s="88"/>
    </row>
    <row r="130" spans="1:46">
      <c r="E130" s="88"/>
    </row>
    <row r="131" spans="1:46">
      <c r="E131" s="88"/>
    </row>
    <row r="132" spans="1:46">
      <c r="E132" s="88"/>
    </row>
    <row r="133" spans="1:46">
      <c r="E133" s="88"/>
    </row>
    <row r="134" spans="1:46">
      <c r="E134" s="88"/>
    </row>
    <row r="135" spans="1:46">
      <c r="E135" s="88"/>
    </row>
    <row r="136" spans="1:46">
      <c r="E136" s="88"/>
    </row>
    <row r="137" spans="1:46">
      <c r="E137" s="88"/>
    </row>
    <row r="138" spans="1:46">
      <c r="E138" s="88"/>
    </row>
    <row r="139" spans="1:46">
      <c r="E139" s="88"/>
    </row>
    <row r="140" spans="1:46">
      <c r="E140" s="88"/>
    </row>
    <row r="141" spans="1:46">
      <c r="E141" s="88"/>
    </row>
    <row r="142" spans="1:46">
      <c r="E142" s="88"/>
    </row>
    <row r="143" spans="1:46">
      <c r="E143" s="88"/>
    </row>
    <row r="144" spans="1:46">
      <c r="E144" s="88"/>
    </row>
    <row r="145" spans="1:46">
      <c r="E145" s="88"/>
    </row>
    <row r="146" spans="1:46">
      <c r="E146" s="88"/>
    </row>
    <row r="147" spans="1:46">
      <c r="E147" s="88"/>
    </row>
    <row r="148" spans="1:46">
      <c r="E148" s="88"/>
    </row>
    <row r="149" spans="1:46">
      <c r="E149" s="88"/>
    </row>
    <row r="150" spans="1:46">
      <c r="E150" s="88"/>
    </row>
    <row r="151" spans="1:46">
      <c r="E151" s="88"/>
    </row>
    <row r="152" spans="1:46">
      <c r="E152" s="88"/>
    </row>
    <row r="153" spans="1:46">
      <c r="E153" s="88"/>
    </row>
    <row r="154" spans="1:46">
      <c r="E154" s="88"/>
    </row>
    <row r="155" spans="1:46">
      <c r="E155" s="88"/>
    </row>
    <row r="156" spans="1:46">
      <c r="E156" s="88"/>
    </row>
    <row r="157" spans="1:46">
      <c r="E157" s="88"/>
    </row>
    <row r="158" spans="1:46">
      <c r="E158" s="88"/>
    </row>
    <row r="159" spans="1:46">
      <c r="E159" s="88"/>
    </row>
    <row r="160" spans="1:46">
      <c r="E160" s="88"/>
    </row>
    <row r="161" spans="1:46">
      <c r="E161" s="88"/>
    </row>
    <row r="162" spans="1:46">
      <c r="E162" s="88"/>
    </row>
    <row r="163" spans="1:46">
      <c r="E163" s="88"/>
    </row>
    <row r="164" spans="1:46">
      <c r="E164" s="88"/>
    </row>
    <row r="165" spans="1:46">
      <c r="E165" s="88"/>
    </row>
    <row r="166" spans="1:46">
      <c r="E166" s="88"/>
    </row>
    <row r="167" spans="1:46">
      <c r="E167" s="88"/>
    </row>
    <row r="168" spans="1:46">
      <c r="E168" s="88"/>
    </row>
    <row r="169" spans="1:46">
      <c r="E169" s="88"/>
    </row>
    <row r="170" spans="1:46">
      <c r="E170" s="88"/>
    </row>
    <row r="171" spans="1:46">
      <c r="E171" s="88"/>
    </row>
    <row r="172" spans="1:46">
      <c r="E172" s="88"/>
    </row>
    <row r="173" spans="1:46">
      <c r="E173" s="88"/>
    </row>
    <row r="174" spans="1:46">
      <c r="E174" s="88"/>
    </row>
    <row r="175" spans="1:46">
      <c r="E175" s="88"/>
    </row>
    <row r="176" spans="1:46">
      <c r="E176" s="88"/>
    </row>
    <row r="177" spans="1:46">
      <c r="E177" s="88"/>
    </row>
    <row r="178" spans="1:46">
      <c r="E178" s="88"/>
    </row>
    <row r="179" spans="1:46">
      <c r="E179" s="88"/>
    </row>
    <row r="180" spans="1:46">
      <c r="E180" s="88"/>
    </row>
    <row r="181" spans="1:46">
      <c r="E181" s="88"/>
    </row>
    <row r="182" spans="1:46">
      <c r="E182" s="88"/>
    </row>
    <row r="183" spans="1:46">
      <c r="E183" s="88"/>
    </row>
    <row r="184" spans="1:46">
      <c r="E184" s="88"/>
    </row>
    <row r="185" spans="1:46">
      <c r="E185" s="88"/>
    </row>
    <row r="186" spans="1:46">
      <c r="E186" s="88"/>
    </row>
    <row r="187" spans="1:46">
      <c r="E187" s="88"/>
    </row>
    <row r="188" spans="1:46">
      <c r="E188" s="88"/>
    </row>
    <row r="189" spans="1:46">
      <c r="E189" s="88"/>
    </row>
    <row r="190" spans="1:46">
      <c r="E190" s="88"/>
    </row>
    <row r="191" spans="1:46">
      <c r="E191" s="88"/>
    </row>
    <row r="192" spans="1:46">
      <c r="E192" s="88"/>
    </row>
    <row r="193" spans="1:46">
      <c r="E193" s="88"/>
    </row>
    <row r="194" spans="1:46">
      <c r="E194" s="88"/>
    </row>
    <row r="195" spans="1:46">
      <c r="E195" s="88"/>
    </row>
    <row r="196" spans="1:46">
      <c r="E196" s="88"/>
    </row>
    <row r="197" spans="1:46">
      <c r="E197" s="88"/>
    </row>
    <row r="198" spans="1:46">
      <c r="E198" s="88"/>
    </row>
    <row r="199" spans="1:46">
      <c r="E199" s="88"/>
    </row>
    <row r="200" spans="1:46">
      <c r="E200" s="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D2"/>
    <mergeCell ref="B4:M5"/>
    <mergeCell ref="Y5:AB5"/>
    <mergeCell ref="AB7:AT7"/>
  </mergeCells>
  <printOptions gridLines="false" gridLinesSet="true"/>
  <pageMargins left="0.7" right="0.7" top="0.75" bottom="0.75" header="0.3" footer="0.3"/>
  <pageSetup paperSize="271" orientation="landscape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" r:id="rId4" name="Button 1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5" name="Button 2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6" name="Button 3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7" name="Button 4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AnhMV98</dc:creator>
  <cp:lastModifiedBy>AnhMV98</cp:lastModifiedBy>
  <dcterms:created xsi:type="dcterms:W3CDTF">2021-03-06T15:31:21+07:00</dcterms:created>
  <dcterms:modified xsi:type="dcterms:W3CDTF">2021-03-08T09:40:54+07:00</dcterms:modified>
  <dc:title/>
  <dc:description/>
  <dc:subject/>
  <cp:keywords/>
  <cp:category/>
</cp:coreProperties>
</file>